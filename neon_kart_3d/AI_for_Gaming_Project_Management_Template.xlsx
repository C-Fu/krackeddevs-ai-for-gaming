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cklog" sheetId="1" state="visible" r:id="rId2"/>
    <sheet name="Milestone Schedule" sheetId="2" state="visible" r:id="rId3"/>
    <sheet name="AI Prompt Prime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<sst xmlns="http://schemas.openxmlformats.org/spreadsheetml/2006/main" count="199" uniqueCount="133">
  <si>
    <t xml:space="preserve">Task ID</t>
  </si>
  <si>
    <t xml:space="preserve">Milestone</t>
  </si>
  <si>
    <t xml:space="preserve">Task Name</t>
  </si>
  <si>
    <t xml:space="preserve">Department</t>
  </si>
  <si>
    <t xml:space="preserve">Primary AI Tool</t>
  </si>
  <si>
    <t xml:space="preserve">Priority</t>
  </si>
  <si>
    <t xml:space="preserve">Est. Mins</t>
  </si>
  <si>
    <t xml:space="preserve">Status</t>
  </si>
  <si>
    <t xml:space="preserve">Deliverable Target</t>
  </si>
  <si>
    <t xml:space="preserve">TASK-01</t>
  </si>
  <si>
    <t xml:space="preserve">M1: Design &amp; PM</t>
  </si>
  <si>
    <t xml:space="preserve">Draft GDD &amp; Physics Constants</t>
  </si>
  <si>
    <t xml:space="preserve">Game Design</t>
  </si>
  <si>
    <t xml:space="preserve">Google Antigravity</t>
  </si>
  <si>
    <t xml:space="preserve">HIGH</t>
  </si>
  <si>
    <t xml:space="preserve">DONE</t>
  </si>
  <si>
    <t xml:space="preserve">docs/GDD.md [Example]</t>
  </si>
  <si>
    <t xml:space="preserve">TASK-02</t>
  </si>
  <si>
    <t xml:space="preserve">Export 16-Task Sprint Backlog CSV</t>
  </si>
  <si>
    <t xml:space="preserve">Production</t>
  </si>
  <si>
    <t xml:space="preserve">Structured CSV imported to sheet</t>
  </si>
  <si>
    <t xml:space="preserve">TASK-03</t>
  </si>
  <si>
    <t xml:space="preserve">Define Modular File Architecture</t>
  </si>
  <si>
    <t xml:space="preserve">Architecture</t>
  </si>
  <si>
    <t xml:space="preserve">OpenCode CLI</t>
  </si>
  <si>
    <t xml:space="preserve">docs/ARCHITECTURE.md module tree</t>
  </si>
  <si>
    <t xml:space="preserve">TASK-04</t>
  </si>
  <si>
    <t xml:space="preserve">M2: Core 3D Engine</t>
  </si>
  <si>
    <t xml:space="preserve">Initialize Vite + Three.js Scene</t>
  </si>
  <si>
    <t xml:space="preserve">Engineering</t>
  </si>
  <si>
    <t xml:space="preserve">IN PROGRESS</t>
  </si>
  <si>
    <t xml:space="preserve">60 FPS WebGL canvas + chase cam</t>
  </si>
  <si>
    <t xml:space="preserve">TASK-05</t>
  </si>
  <si>
    <t xml:space="preserve">Build CatmullRomCurve3 Circuit</t>
  </si>
  <si>
    <t xml:space="preserve">PENDING</t>
  </si>
  <si>
    <t xml:space="preserve">Closed asphalt loop + curbs</t>
  </si>
  <si>
    <t xml:space="preserve">TASK-06</t>
  </si>
  <si>
    <t xml:space="preserve">Code Arcade Raycast Kart Physics</t>
  </si>
  <si>
    <t xml:space="preserve">Thrust, reverse, off-road drag</t>
  </si>
  <si>
    <t xml:space="preserve">TASK-07</t>
  </si>
  <si>
    <t xml:space="preserve">Implement Spacebar Drift &amp; Turbo</t>
  </si>
  <si>
    <t xml:space="preserve">1.0s drift charge awards boost</t>
  </si>
  <si>
    <t xml:space="preserve">TASK-08</t>
  </si>
  <si>
    <t xml:space="preserve">Add Speed Pads &amp; Item Boxes</t>
  </si>
  <si>
    <t xml:space="preserve">Gameplay</t>
  </si>
  <si>
    <t xml:space="preserve">MEDIUM</t>
  </si>
  <si>
    <t xml:space="preserve">4 speed pads + 6 item boxes</t>
  </si>
  <si>
    <t xml:space="preserve">TASK-09</t>
  </si>
  <si>
    <t xml:space="preserve">Code Waypoint AI Rival Karts</t>
  </si>
  <si>
    <t xml:space="preserve">AI Systems</t>
  </si>
  <si>
    <t xml:space="preserve">2 AI rivals racing 3 laps</t>
  </si>
  <si>
    <t xml:space="preserve">TASK-10</t>
  </si>
  <si>
    <t xml:space="preserve">M3: 3D Assets (MCP)</t>
  </si>
  <si>
    <t xml:space="preserve">Connect Blender MCP Server</t>
  </si>
  <si>
    <t xml:space="preserve">3D Art</t>
  </si>
  <si>
    <t xml:space="preserve">MCP for Blender</t>
  </si>
  <si>
    <t xml:space="preserve">uvx mcp-for-blender active</t>
  </si>
  <si>
    <t xml:space="preserve">TASK-11</t>
  </si>
  <si>
    <t xml:space="preserve">Model Low-Poly Cyber Kart Mesh</t>
  </si>
  <si>
    <t xml:space="preserve">Export public/assets/kart.glb</t>
  </si>
  <si>
    <t xml:space="preserve">TASK-12</t>
  </si>
  <si>
    <t xml:space="preserve">Generate Custom Track Archway</t>
  </si>
  <si>
    <t xml:space="preserve">Meshy / Tripo3D</t>
  </si>
  <si>
    <t xml:space="preserve">LOW</t>
  </si>
  <si>
    <t xml:space="preserve">Export public/assets/arch.glb</t>
  </si>
  <si>
    <t xml:space="preserve">TASK-13</t>
  </si>
  <si>
    <t xml:space="preserve">M4: Audio &amp; HUD</t>
  </si>
  <si>
    <t xml:space="preserve">Synthesize Web Audio Engine SFX</t>
  </si>
  <si>
    <t xml:space="preserve">Audio</t>
  </si>
  <si>
    <t xml:space="preserve">Oscillator pitch tied to speed</t>
  </si>
  <si>
    <t xml:space="preserve">TASK-14</t>
  </si>
  <si>
    <t xml:space="preserve">Extract Local BGM via yt-dlp CLI</t>
  </si>
  <si>
    <t xml:space="preserve">yt-dlp / Suno</t>
  </si>
  <si>
    <t xml:space="preserve">Local bgm.mp3 + CC0 prod swap</t>
  </si>
  <si>
    <t xml:space="preserve">TASK-15</t>
  </si>
  <si>
    <t xml:space="preserve">M5: UI &amp; Deploy</t>
  </si>
  <si>
    <t xml:space="preserve">Build Racing HUD &amp; Lap Timer</t>
  </si>
  <si>
    <t xml:space="preserve">UI/UX</t>
  </si>
  <si>
    <t xml:space="preserve">Speedometer, Lap 1/3, Item UI</t>
  </si>
  <si>
    <t xml:space="preserve">TASK-16</t>
  </si>
  <si>
    <t xml:space="preserve">Deploy Static Build to Web Host</t>
  </si>
  <si>
    <t xml:space="preserve">DevOps</t>
  </si>
  <si>
    <t xml:space="preserve">GitHub Pages / Vercel live URL</t>
  </si>
  <si>
    <t xml:space="preserve">TOTAL</t>
  </si>
  <si>
    <t xml:space="preserve">All 5 Lab Milestones</t>
  </si>
  <si>
    <t xml:space="preserve">Solo Builder</t>
  </si>
  <si>
    <t xml:space="preserve">Multi-Agent Stack</t>
  </si>
  <si>
    <t xml:space="preserve">Complete 180-Min Lab Scope</t>
  </si>
  <si>
    <t xml:space="preserve">Lab Window</t>
  </si>
  <si>
    <t xml:space="preserve">Tasks [Auto]</t>
  </si>
  <si>
    <t xml:space="preserve">Done [Auto]</t>
  </si>
  <si>
    <t xml:space="preserve">Mins [Auto]</t>
  </si>
  <si>
    <t xml:space="preserve">Progress [Auto]</t>
  </si>
  <si>
    <t xml:space="preserve">Checkpoint Deliverable</t>
  </si>
  <si>
    <t xml:space="preserve">0:00 - 1:00</t>
  </si>
  <si>
    <t xml:space="preserve">GDD, Architecture &amp; Backlog</t>
  </si>
  <si>
    <t xml:space="preserve">1:00 - 2:00</t>
  </si>
  <si>
    <t xml:space="preserve">Playable Three.js Kart Prototype</t>
  </si>
  <si>
    <t xml:space="preserve">2:00 - 2:30</t>
  </si>
  <si>
    <t xml:space="preserve">Custom Blender MCP .glb Assets</t>
  </si>
  <si>
    <t xml:space="preserve">2:30 - 2:45</t>
  </si>
  <si>
    <t xml:space="preserve">Web Audio SFX + yt-dlp Local BGM</t>
  </si>
  <si>
    <t xml:space="preserve">2:45 - 3:00</t>
  </si>
  <si>
    <t xml:space="preserve">Racing HUD + GitHub Pages Deploy</t>
  </si>
  <si>
    <t xml:space="preserve">Total Workshop</t>
  </si>
  <si>
    <t xml:space="preserve">3 Hours (180m)</t>
  </si>
  <si>
    <t xml:space="preserve">Playable 3D Web Kart Racer</t>
  </si>
  <si>
    <t xml:space="preserve">Workflow Phase</t>
  </si>
  <si>
    <t xml:space="preserve">Target AI Tool</t>
  </si>
  <si>
    <t xml:space="preserve">Agent Objective</t>
  </si>
  <si>
    <t xml:space="preserve">Expected Output</t>
  </si>
  <si>
    <t xml:space="preserve">Target Sheet Range</t>
  </si>
  <si>
    <t xml:space="preserve">1. Mechanics to Epics</t>
  </si>
  <si>
    <t xml:space="preserve">Decompose GDD into 5 Lab Epics</t>
  </si>
  <si>
    <t xml:space="preserve">5 Milestone Epics Table</t>
  </si>
  <si>
    <t xml:space="preserve">Milestone Schedule (A2:B6)</t>
  </si>
  <si>
    <t xml:space="preserve">2. Epics to Sprint CSV</t>
  </si>
  <si>
    <t xml:space="preserve">OpenCode CLI / Antigravity</t>
  </si>
  <si>
    <t xml:space="preserve">Generate 16 atomic 10-15 min solo builder tasks in docs/BACKLOG.csv matching columns A-I</t>
  </si>
  <si>
    <t xml:space="preserve">RFC-4180 CSV file in repo</t>
  </si>
  <si>
    <t xml:space="preserve">Backlog (A2:I17)</t>
  </si>
  <si>
    <t xml:space="preserve">3. Physics Constant Sync</t>
  </si>
  <si>
    <t xml:space="preserve">Verify every handling parameter in docs/GDD.md matches src/config/constants.js</t>
  </si>
  <si>
    <t xml:space="preserve">Verified constants &amp; slider UI</t>
  </si>
  <si>
    <t xml:space="preserve">Mark TASK-06 &amp; TASK-07 DONE</t>
  </si>
  <si>
    <t xml:space="preserve">4. Blender MCP Export</t>
  </si>
  <si>
    <t xml:space="preserve">Procedurally build low-poly Cyber Kart (&lt;3,500 tris) and export binary kart.glb</t>
  </si>
  <si>
    <t xml:space="preserve">public/assets/models/kart.glb</t>
  </si>
  <si>
    <t xml:space="preserve">Mark TASK-10 to TASK-12 DONE</t>
  </si>
  <si>
    <t xml:space="preserve">5. Scope Triage Check</t>
  </si>
  <si>
    <t xml:space="preserve">Filter PENDING tasks with 30 mins left and enable procedural fallbacks for LOW priority items</t>
  </si>
  <si>
    <t xml:space="preserve">Prioritized cut-list &amp; fallback</t>
  </si>
  <si>
    <t xml:space="preserve">Filter Priority = HIGH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</si>
</sst>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1E293B"/>
      <name val="Calibri"/>
      <family val="0"/>
      <charset val="1"/>
    </font>
    <font>
      <b val="true"/>
      <sz val="11"/>
      <color rgb="FF0F172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8D7DA"/>
        <bgColor rgb="FFE2E8F0"/>
      </patternFill>
    </fill>
    <fill>
      <patternFill patternType="solid">
        <fgColor rgb="FFD1E7DD"/>
        <bgColor rgb="FFE2E8F0"/>
      </patternFill>
    </fill>
    <fill>
      <patternFill patternType="solid">
        <fgColor rgb="FFCFF4FC"/>
        <bgColor rgb="FFD1E7DD"/>
      </patternFill>
    </fill>
    <fill>
      <patternFill patternType="solid">
        <fgColor rgb="FFFFF3CD"/>
        <bgColor rgb="FFF1F5F9"/>
      </patternFill>
    </fill>
    <fill>
      <patternFill patternType="solid">
        <fgColor rgb="FFE2E8F0"/>
        <bgColor rgb="FFD1E7DD"/>
      </patternFill>
    </fill>
    <fill>
      <patternFill patternType="solid">
        <fgColor rgb="FFF1F5F9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E293B"/>
      </top>
      <bottom style="double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808080"/>
      <rgbColor rgb="FF9999FF"/>
      <rgbColor rgb="FF993366"/>
      <rgbColor rgb="FFFFF3CD"/>
      <rgbColor rgb="FFCFF4FC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E7DD"/>
      <rgbColor rgb="FFF8FAF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7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9.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4" t="n">
        <v>10</v>
      </c>
      <c r="H2" s="5" t="s">
        <v>15</v>
      </c>
      <c r="I2" s="2" t="s">
        <v>16</v>
      </c>
    </row>
    <row r="3" customFormat="false" ht="19.5" hidden="false" customHeight="true" outlineLevel="0" collapsed="false">
      <c r="A3" s="6" t="s">
        <v>17</v>
      </c>
      <c r="B3" s="6" t="s">
        <v>10</v>
      </c>
      <c r="C3" s="6" t="s">
        <v>18</v>
      </c>
      <c r="D3" s="6" t="s">
        <v>19</v>
      </c>
      <c r="E3" s="6" t="s">
        <v>13</v>
      </c>
      <c r="F3" s="3" t="s">
        <v>14</v>
      </c>
      <c r="G3" s="7" t="n">
        <v>10</v>
      </c>
      <c r="H3" s="5" t="s">
        <v>15</v>
      </c>
      <c r="I3" s="6" t="s">
        <v>20</v>
      </c>
    </row>
    <row r="4" customFormat="false" ht="19.5" hidden="false" customHeight="true" outlineLevel="0" collapsed="false">
      <c r="A4" s="2" t="s">
        <v>21</v>
      </c>
      <c r="B4" s="2" t="s">
        <v>10</v>
      </c>
      <c r="C4" s="2" t="s">
        <v>22</v>
      </c>
      <c r="D4" s="2" t="s">
        <v>23</v>
      </c>
      <c r="E4" s="2" t="s">
        <v>24</v>
      </c>
      <c r="F4" s="3" t="s">
        <v>14</v>
      </c>
      <c r="G4" s="4" t="n">
        <v>10</v>
      </c>
      <c r="H4" s="5" t="s">
        <v>15</v>
      </c>
      <c r="I4" s="2" t="s">
        <v>25</v>
      </c>
    </row>
    <row r="5" customFormat="false" ht="19.5" hidden="false" customHeight="true" outlineLevel="0" collapsed="false">
      <c r="A5" s="6" t="s">
        <v>26</v>
      </c>
      <c r="B5" s="6" t="s">
        <v>27</v>
      </c>
      <c r="C5" s="6" t="s">
        <v>28</v>
      </c>
      <c r="D5" s="6" t="s">
        <v>29</v>
      </c>
      <c r="E5" s="6" t="s">
        <v>24</v>
      </c>
      <c r="F5" s="3" t="s">
        <v>14</v>
      </c>
      <c r="G5" s="7" t="n">
        <v>10</v>
      </c>
      <c r="H5" s="8" t="s">
        <v>30</v>
      </c>
      <c r="I5" s="6" t="s">
        <v>31</v>
      </c>
    </row>
    <row r="6" customFormat="false" ht="19.5" hidden="false" customHeight="true" outlineLevel="0" collapsed="false">
      <c r="A6" s="2" t="s">
        <v>32</v>
      </c>
      <c r="B6" s="2" t="s">
        <v>27</v>
      </c>
      <c r="C6" s="2" t="s">
        <v>33</v>
      </c>
      <c r="D6" s="2" t="s">
        <v>29</v>
      </c>
      <c r="E6" s="2" t="s">
        <v>13</v>
      </c>
      <c r="F6" s="3" t="s">
        <v>14</v>
      </c>
      <c r="G6" s="4" t="n">
        <v>15</v>
      </c>
      <c r="H6" s="9" t="s">
        <v>34</v>
      </c>
      <c r="I6" s="2" t="s">
        <v>35</v>
      </c>
    </row>
    <row r="7" customFormat="false" ht="19.5" hidden="false" customHeight="true" outlineLevel="0" collapsed="false">
      <c r="A7" s="6" t="s">
        <v>36</v>
      </c>
      <c r="B7" s="6" t="s">
        <v>27</v>
      </c>
      <c r="C7" s="6" t="s">
        <v>37</v>
      </c>
      <c r="D7" s="6" t="s">
        <v>29</v>
      </c>
      <c r="E7" s="6" t="s">
        <v>13</v>
      </c>
      <c r="F7" s="3" t="s">
        <v>14</v>
      </c>
      <c r="G7" s="7" t="n">
        <v>15</v>
      </c>
      <c r="H7" s="9" t="s">
        <v>34</v>
      </c>
      <c r="I7" s="6" t="s">
        <v>38</v>
      </c>
    </row>
    <row r="8" customFormat="false" ht="19.5" hidden="false" customHeight="true" outlineLevel="0" collapsed="false">
      <c r="A8" s="2" t="s">
        <v>39</v>
      </c>
      <c r="B8" s="2" t="s">
        <v>27</v>
      </c>
      <c r="C8" s="2" t="s">
        <v>40</v>
      </c>
      <c r="D8" s="2" t="s">
        <v>29</v>
      </c>
      <c r="E8" s="2" t="s">
        <v>24</v>
      </c>
      <c r="F8" s="3" t="s">
        <v>14</v>
      </c>
      <c r="G8" s="4" t="n">
        <v>15</v>
      </c>
      <c r="H8" s="9" t="s">
        <v>34</v>
      </c>
      <c r="I8" s="2" t="s">
        <v>41</v>
      </c>
    </row>
    <row r="9" customFormat="false" ht="19.5" hidden="false" customHeight="true" outlineLevel="0" collapsed="false">
      <c r="A9" s="6" t="s">
        <v>42</v>
      </c>
      <c r="B9" s="6" t="s">
        <v>27</v>
      </c>
      <c r="C9" s="6" t="s">
        <v>43</v>
      </c>
      <c r="D9" s="6" t="s">
        <v>44</v>
      </c>
      <c r="E9" s="6" t="s">
        <v>13</v>
      </c>
      <c r="F9" s="9" t="s">
        <v>45</v>
      </c>
      <c r="G9" s="7" t="n">
        <v>15</v>
      </c>
      <c r="H9" s="9" t="s">
        <v>34</v>
      </c>
      <c r="I9" s="6" t="s">
        <v>46</v>
      </c>
    </row>
    <row r="10" customFormat="false" ht="19.5" hidden="false" customHeight="true" outlineLevel="0" collapsed="false">
      <c r="A10" s="2" t="s">
        <v>47</v>
      </c>
      <c r="B10" s="2" t="s">
        <v>27</v>
      </c>
      <c r="C10" s="2" t="s">
        <v>48</v>
      </c>
      <c r="D10" s="2" t="s">
        <v>49</v>
      </c>
      <c r="E10" s="2" t="s">
        <v>24</v>
      </c>
      <c r="F10" s="9" t="s">
        <v>45</v>
      </c>
      <c r="G10" s="4" t="n">
        <v>10</v>
      </c>
      <c r="H10" s="9" t="s">
        <v>34</v>
      </c>
      <c r="I10" s="2" t="s">
        <v>50</v>
      </c>
    </row>
    <row r="11" customFormat="false" ht="19.5" hidden="false" customHeight="true" outlineLevel="0" collapsed="false">
      <c r="A11" s="6" t="s">
        <v>51</v>
      </c>
      <c r="B11" s="6" t="s">
        <v>52</v>
      </c>
      <c r="C11" s="6" t="s">
        <v>53</v>
      </c>
      <c r="D11" s="6" t="s">
        <v>54</v>
      </c>
      <c r="E11" s="6" t="s">
        <v>55</v>
      </c>
      <c r="F11" s="3" t="s">
        <v>14</v>
      </c>
      <c r="G11" s="7" t="n">
        <v>10</v>
      </c>
      <c r="H11" s="9" t="s">
        <v>34</v>
      </c>
      <c r="I11" s="6" t="s">
        <v>56</v>
      </c>
    </row>
    <row r="12" customFormat="false" ht="19.5" hidden="false" customHeight="true" outlineLevel="0" collapsed="false">
      <c r="A12" s="2" t="s">
        <v>57</v>
      </c>
      <c r="B12" s="2" t="s">
        <v>52</v>
      </c>
      <c r="C12" s="2" t="s">
        <v>58</v>
      </c>
      <c r="D12" s="2" t="s">
        <v>54</v>
      </c>
      <c r="E12" s="2" t="s">
        <v>55</v>
      </c>
      <c r="F12" s="3" t="s">
        <v>14</v>
      </c>
      <c r="G12" s="4" t="n">
        <v>15</v>
      </c>
      <c r="H12" s="9" t="s">
        <v>34</v>
      </c>
      <c r="I12" s="2" t="s">
        <v>59</v>
      </c>
    </row>
    <row r="13" customFormat="false" ht="19.5" hidden="false" customHeight="true" outlineLevel="0" collapsed="false">
      <c r="A13" s="6" t="s">
        <v>60</v>
      </c>
      <c r="B13" s="6" t="s">
        <v>52</v>
      </c>
      <c r="C13" s="6" t="s">
        <v>61</v>
      </c>
      <c r="D13" s="6" t="s">
        <v>54</v>
      </c>
      <c r="E13" s="6" t="s">
        <v>62</v>
      </c>
      <c r="F13" s="10" t="s">
        <v>63</v>
      </c>
      <c r="G13" s="7" t="n">
        <v>10</v>
      </c>
      <c r="H13" s="9" t="s">
        <v>34</v>
      </c>
      <c r="I13" s="6" t="s">
        <v>64</v>
      </c>
    </row>
    <row r="14" customFormat="false" ht="19.5" hidden="false" customHeight="tru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13</v>
      </c>
      <c r="F14" s="9" t="s">
        <v>45</v>
      </c>
      <c r="G14" s="4" t="n">
        <v>10</v>
      </c>
      <c r="H14" s="9" t="s">
        <v>34</v>
      </c>
      <c r="I14" s="2" t="s">
        <v>69</v>
      </c>
    </row>
    <row r="15" customFormat="false" ht="19.5" hidden="false" customHeight="true" outlineLevel="0" collapsed="false">
      <c r="A15" s="6" t="s">
        <v>70</v>
      </c>
      <c r="B15" s="6" t="s">
        <v>66</v>
      </c>
      <c r="C15" s="6" t="s">
        <v>71</v>
      </c>
      <c r="D15" s="6" t="s">
        <v>68</v>
      </c>
      <c r="E15" s="6" t="s">
        <v>72</v>
      </c>
      <c r="F15" s="10" t="s">
        <v>63</v>
      </c>
      <c r="G15" s="7" t="n">
        <v>10</v>
      </c>
      <c r="H15" s="9" t="s">
        <v>34</v>
      </c>
      <c r="I15" s="6" t="s">
        <v>73</v>
      </c>
    </row>
    <row r="16" customFormat="false" ht="19.5" hidden="false" customHeight="tru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13</v>
      </c>
      <c r="F16" s="3" t="s">
        <v>14</v>
      </c>
      <c r="G16" s="4" t="n">
        <v>5</v>
      </c>
      <c r="H16" s="9" t="s">
        <v>34</v>
      </c>
      <c r="I16" s="2" t="s">
        <v>78</v>
      </c>
    </row>
    <row r="17" customFormat="false" ht="19.5" hidden="false" customHeight="true" outlineLevel="0" collapsed="false">
      <c r="A17" s="6" t="s">
        <v>79</v>
      </c>
      <c r="B17" s="6" t="s">
        <v>75</v>
      </c>
      <c r="C17" s="6" t="s">
        <v>80</v>
      </c>
      <c r="D17" s="6" t="s">
        <v>81</v>
      </c>
      <c r="E17" s="6" t="s">
        <v>24</v>
      </c>
      <c r="F17" s="9" t="s">
        <v>45</v>
      </c>
      <c r="G17" s="7" t="n">
        <v>10</v>
      </c>
      <c r="H17" s="9" t="s">
        <v>34</v>
      </c>
      <c r="I17" s="6" t="s">
        <v>82</v>
      </c>
    </row>
    <row r="18" customFormat="false" ht="21.75" hidden="false" customHeight="true" outlineLevel="0" collapsed="false">
      <c r="A18" s="11" t="s">
        <v>83</v>
      </c>
      <c r="B18" s="11" t="s">
        <v>84</v>
      </c>
      <c r="C18" s="11" t="str">
        <f aca="false">COUNTA(C2:C17)&amp;" Scheduled Tasks"</f>
        <v>16 Scheduled Tasks</v>
      </c>
      <c r="D18" s="11" t="s">
        <v>85</v>
      </c>
      <c r="E18" s="11" t="s">
        <v>86</v>
      </c>
      <c r="F18" s="12" t="s">
        <v>14</v>
      </c>
      <c r="G18" s="13" t="n">
        <f aca="false">SUM(G2:G17)</f>
        <v>180</v>
      </c>
      <c r="H18" s="12" t="s">
        <v>30</v>
      </c>
      <c r="I18" s="11" t="s">
        <v>87</v>
      </c>
    </row>
  </sheetData>
  <dataValidations count="2">
    <dataValidation allowBlank="true" errorStyle="stop" operator="between" showDropDown="false" showErrorMessage="false" showInputMessage="false" sqref="H2:H17" type="list">
      <formula1>"PENDING,IN PROGRESS,DONE"</formula1>
      <formula2>0</formula2>
    </dataValidation>
    <dataValidation allowBlank="true" errorStyle="stop" operator="between" showDropDown="false" showErrorMessage="false" showInputMessage="false" sqref="F2:F1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9"/>
    <col collapsed="false" customWidth="true" hidden="false" outlineLevel="0" max="7" min="7" style="0" width="36"/>
  </cols>
  <sheetData>
    <row r="1" customFormat="false" ht="24" hidden="false" customHeight="true" outlineLevel="0" collapsed="false">
      <c r="A1" s="1" t="s">
        <v>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customFormat="false" ht="21.75" hidden="false" customHeight="true" outlineLevel="0" collapsed="false">
      <c r="A2" s="2" t="s">
        <v>10</v>
      </c>
      <c r="B2" s="2" t="s">
        <v>94</v>
      </c>
      <c r="C2" s="4" t="n">
        <f aca="false">COUNTIF(Backlog!B2:B17,A2)</f>
        <v>3</v>
      </c>
      <c r="D2" s="4" t="n">
        <f aca="false">COUNTIFS(Backlog!B2:B17,A2,Backlog!H2:H17,"DONE")</f>
        <v>3</v>
      </c>
      <c r="E2" s="4" t="n">
        <f aca="false">SUMIF(Backlog!B2:B17,A2,Backlog!G2:G17)</f>
        <v>30</v>
      </c>
      <c r="F2" s="14" t="n">
        <f aca="false">IF(C2=0,0,D2/C2)</f>
        <v>1</v>
      </c>
      <c r="G2" s="2" t="s">
        <v>95</v>
      </c>
    </row>
    <row r="3" customFormat="false" ht="21.75" hidden="false" customHeight="true" outlineLevel="0" collapsed="false">
      <c r="A3" s="6" t="s">
        <v>27</v>
      </c>
      <c r="B3" s="6" t="s">
        <v>96</v>
      </c>
      <c r="C3" s="7" t="n">
        <f aca="false">COUNTIF(Backlog!B2:B17,A3)</f>
        <v>6</v>
      </c>
      <c r="D3" s="7" t="n">
        <f aca="false">COUNTIFS(Backlog!B2:B17,A3,Backlog!H2:H17,"DONE")</f>
        <v>0</v>
      </c>
      <c r="E3" s="7" t="n">
        <f aca="false">SUMIF(Backlog!B2:B17,A3,Backlog!G2:G17)</f>
        <v>80</v>
      </c>
      <c r="F3" s="15" t="n">
        <f aca="false">IF(C3=0,0,D3/C3)</f>
        <v>0</v>
      </c>
      <c r="G3" s="6" t="s">
        <v>97</v>
      </c>
    </row>
    <row r="4" customFormat="false" ht="21.75" hidden="false" customHeight="true" outlineLevel="0" collapsed="false">
      <c r="A4" s="2" t="s">
        <v>52</v>
      </c>
      <c r="B4" s="2" t="s">
        <v>98</v>
      </c>
      <c r="C4" s="4" t="n">
        <f aca="false">COUNTIF(Backlog!B2:B17,A4)</f>
        <v>3</v>
      </c>
      <c r="D4" s="4" t="n">
        <f aca="false">COUNTIFS(Backlog!B2:B17,A4,Backlog!H2:H17,"DONE")</f>
        <v>0</v>
      </c>
      <c r="E4" s="4" t="n">
        <f aca="false">SUMIF(Backlog!B2:B17,A4,Backlog!G2:G17)</f>
        <v>35</v>
      </c>
      <c r="F4" s="14" t="n">
        <f aca="false">IF(C4=0,0,D4/C4)</f>
        <v>0</v>
      </c>
      <c r="G4" s="2" t="s">
        <v>99</v>
      </c>
    </row>
    <row r="5" customFormat="false" ht="21.75" hidden="false" customHeight="true" outlineLevel="0" collapsed="false">
      <c r="A5" s="6" t="s">
        <v>66</v>
      </c>
      <c r="B5" s="6" t="s">
        <v>100</v>
      </c>
      <c r="C5" s="7" t="n">
        <f aca="false">COUNTIF(Backlog!B2:B17,A5)</f>
        <v>2</v>
      </c>
      <c r="D5" s="7" t="n">
        <f aca="false">COUNTIFS(Backlog!B2:B17,A5,Backlog!H2:H17,"DONE")</f>
        <v>0</v>
      </c>
      <c r="E5" s="7" t="n">
        <f aca="false">SUMIF(Backlog!B2:B17,A5,Backlog!G2:G17)</f>
        <v>20</v>
      </c>
      <c r="F5" s="15" t="n">
        <f aca="false">IF(C5=0,0,D5/C5)</f>
        <v>0</v>
      </c>
      <c r="G5" s="6" t="s">
        <v>101</v>
      </c>
    </row>
    <row r="6" customFormat="false" ht="21.75" hidden="false" customHeight="true" outlineLevel="0" collapsed="false">
      <c r="A6" s="2" t="s">
        <v>75</v>
      </c>
      <c r="B6" s="2" t="s">
        <v>102</v>
      </c>
      <c r="C6" s="4" t="n">
        <f aca="false">COUNTIF(Backlog!B2:B17,A6)</f>
        <v>2</v>
      </c>
      <c r="D6" s="4" t="n">
        <f aca="false">COUNTIFS(Backlog!B2:B17,A6,Backlog!H2:H17,"DONE")</f>
        <v>0</v>
      </c>
      <c r="E6" s="4" t="n">
        <f aca="false">SUMIF(Backlog!B2:B17,A6,Backlog!G2:G17)</f>
        <v>15</v>
      </c>
      <c r="F6" s="14" t="n">
        <f aca="false">IF(C6=0,0,D6/C6)</f>
        <v>0</v>
      </c>
      <c r="G6" s="2" t="s">
        <v>103</v>
      </c>
    </row>
    <row r="7" customFormat="false" ht="24" hidden="false" customHeight="true" outlineLevel="0" collapsed="false">
      <c r="A7" s="11" t="s">
        <v>104</v>
      </c>
      <c r="B7" s="11" t="s">
        <v>105</v>
      </c>
      <c r="C7" s="13" t="n">
        <f aca="false">SUM(C2:C6)</f>
        <v>16</v>
      </c>
      <c r="D7" s="13" t="n">
        <f aca="false">SUM(D2:D6)</f>
        <v>3</v>
      </c>
      <c r="E7" s="13" t="n">
        <f aca="false">SUM(E2:E6)</f>
        <v>180</v>
      </c>
      <c r="F7" s="16" t="n">
        <f aca="false">IF(C7=0,0,D7/C7)</f>
        <v>0.1875</v>
      </c>
      <c r="G7" s="11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5"/>
    <col collapsed="false" customWidth="true" hidden="false" outlineLevel="0" max="5" min="5" style="0" width="32"/>
  </cols>
  <sheetData>
    <row r="1" customFormat="false" ht="24" hidden="false" customHeight="true" outlineLevel="0" collapsed="false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customFormat="false" ht="24" hidden="false" customHeight="true" outlineLevel="0" collapsed="false">
      <c r="A2" s="17" t="s">
        <v>112</v>
      </c>
      <c r="B2" s="17" t="s">
        <v>13</v>
      </c>
      <c r="C2" s="17" t="s">
        <v>113</v>
      </c>
      <c r="D2" s="17" t="s">
        <v>114</v>
      </c>
      <c r="E2" s="17" t="s">
        <v>115</v>
      </c>
    </row>
    <row r="3" customFormat="false" ht="24" hidden="false" customHeight="true" outlineLevel="0" collapsed="false">
      <c r="A3" s="18" t="s">
        <v>116</v>
      </c>
      <c r="B3" s="18" t="s">
        <v>117</v>
      </c>
      <c r="C3" s="18" t="s">
        <v>118</v>
      </c>
      <c r="D3" s="18" t="s">
        <v>119</v>
      </c>
      <c r="E3" s="18" t="s">
        <v>120</v>
      </c>
    </row>
    <row r="4" customFormat="false" ht="24" hidden="false" customHeight="true" outlineLevel="0" collapsed="false">
      <c r="A4" s="17" t="s">
        <v>121</v>
      </c>
      <c r="B4" s="17" t="s">
        <v>24</v>
      </c>
      <c r="C4" s="17" t="s">
        <v>122</v>
      </c>
      <c r="D4" s="17" t="s">
        <v>123</v>
      </c>
      <c r="E4" s="17" t="s">
        <v>124</v>
      </c>
    </row>
    <row r="5" customFormat="false" ht="24" hidden="false" customHeight="true" outlineLevel="0" collapsed="false">
      <c r="A5" s="18" t="s">
        <v>125</v>
      </c>
      <c r="B5" s="18" t="s">
        <v>55</v>
      </c>
      <c r="C5" s="18" t="s">
        <v>126</v>
      </c>
      <c r="D5" s="18" t="s">
        <v>127</v>
      </c>
      <c r="E5" s="18" t="s">
        <v>128</v>
      </c>
    </row>
    <row r="6" customFormat="false" ht="24" hidden="false" customHeight="true" outlineLevel="0" collapsed="false">
      <c r="A6" s="17" t="s">
        <v>129</v>
      </c>
      <c r="B6" s="17" t="s">
        <v>13</v>
      </c>
      <c r="C6" s="17" t="s">
        <v>130</v>
      </c>
      <c r="D6" s="17" t="s">
        <v>131</v>
      </c>
      <c r="E6" s="1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2026-10-25T11:15:20Z</dcterms:created>
  <dc:creator>openpyxl</dc:creator>
  <dc:description/>
  <dc:language>en-US</dc:language>
  <cp:lastModifiedBy/>
  <dcterms:modified xsi:type="dcterms:W3CDTF">2026-10-25T11:15:20Z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